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Todo" sheetId="2" r:id="rId6"/>
    <sheet state="visible" name="Details" sheetId="3" r:id="rId7"/>
    <sheet state="visible" name="Recapitulation" sheetId="4" r:id="rId8"/>
    <sheet state="visible" name="Avancement" sheetId="5" r:id="rId9"/>
  </sheets>
  <definedNames/>
  <calcPr/>
</workbook>
</file>

<file path=xl/sharedStrings.xml><?xml version="1.0" encoding="utf-8"?>
<sst xmlns="http://schemas.openxmlformats.org/spreadsheetml/2006/main" count="233" uniqueCount="91">
  <si>
    <t>ETU</t>
  </si>
  <si>
    <t>Prenom</t>
  </si>
  <si>
    <t>ETU003256</t>
  </si>
  <si>
    <t>Fetraniaina</t>
  </si>
  <si>
    <t>ETU003326</t>
  </si>
  <si>
    <t>Blessed</t>
  </si>
  <si>
    <t>-</t>
  </si>
  <si>
    <t>Module</t>
  </si>
  <si>
    <t>Pages</t>
  </si>
  <si>
    <t>Taches</t>
  </si>
  <si>
    <t>Type</t>
  </si>
  <si>
    <t>Qui</t>
  </si>
  <si>
    <t>Estimation</t>
  </si>
  <si>
    <t>Temps passes</t>
  </si>
  <si>
    <t>Reste a faire</t>
  </si>
  <si>
    <t>Avancement</t>
  </si>
  <si>
    <t>tier</t>
  </si>
  <si>
    <t>no module</t>
  </si>
  <si>
    <t>No Page</t>
  </si>
  <si>
    <t>script de la base de donnee</t>
  </si>
  <si>
    <t>Base de donnee</t>
  </si>
  <si>
    <t>creation du repository</t>
  </si>
  <si>
    <t>Tier</t>
  </si>
  <si>
    <t>structure du backoffice et du frontoffice</t>
  </si>
  <si>
    <t>dockerisation</t>
  </si>
  <si>
    <t>initialisation données</t>
  </si>
  <si>
    <t>Backoffice</t>
  </si>
  <si>
    <t>login</t>
  </si>
  <si>
    <t>login.php</t>
  </si>
  <si>
    <t xml:space="preserve">implementation de la logique de login </t>
  </si>
  <si>
    <t>Metier</t>
  </si>
  <si>
    <t>affichage et css</t>
  </si>
  <si>
    <t>Affichage</t>
  </si>
  <si>
    <t>articles</t>
  </si>
  <si>
    <t>list.php</t>
  </si>
  <si>
    <t>implementation des regles metiers de recuperation et envois des articles dans l affichacge</t>
  </si>
  <si>
    <t>edit.php, create.php</t>
  </si>
  <si>
    <t>handle d'envois des form</t>
  </si>
  <si>
    <t>create.php</t>
  </si>
  <si>
    <t>formulaire de creation d article</t>
  </si>
  <si>
    <t>integration de tinyMCE sur le formulaire de creation  d article</t>
  </si>
  <si>
    <t>refactorisation de l'appel des articles</t>
  </si>
  <si>
    <t>adaptation du mise en forme des articles pour lire exactement les contenus dans la base</t>
  </si>
  <si>
    <t>Fix de la base de donnee pour s'adapter a tinyMCE</t>
  </si>
  <si>
    <t>edit.php</t>
  </si>
  <si>
    <t>fromulaire de modification d'article</t>
  </si>
  <si>
    <t>article-version</t>
  </si>
  <si>
    <t>liste des precedents version d'un article au cas ou il y eu modification</t>
  </si>
  <si>
    <t>affichage des versions divers d un article</t>
  </si>
  <si>
    <t>Frontoffice</t>
  </si>
  <si>
    <t xml:space="preserve">rewriting </t>
  </si>
  <si>
    <t>index.php</t>
  </si>
  <si>
    <t>Gestion du routage basique, redirection des URLs et dispatch des requêtes vers les bonnes pages</t>
  </si>
  <si>
    <t>home.php</t>
  </si>
  <si>
    <t>Récupération et affichage des articles depuis la base de données</t>
  </si>
  <si>
    <t>Pagination simple des articles pour limiter le nombre d’articles affichés par page</t>
  </si>
  <si>
    <t>categorie</t>
  </si>
  <si>
    <t>Filtrage des articles par catégorie</t>
  </si>
  <si>
    <t>Recherche basique par mot-clé dans les titres et contenus des articles</t>
  </si>
  <si>
    <t>liste-article</t>
  </si>
  <si>
    <t>articles-list.php</t>
  </si>
  <si>
    <t>Affichage complet de la liste des articles avec titre, résumé et lien vers détail</t>
  </si>
  <si>
    <t>Création du menu des catégories pour filtrer les articles</t>
  </si>
  <si>
    <t>detail-article</t>
  </si>
  <si>
    <t>article-detail.php</t>
  </si>
  <si>
    <t>Affichage du détail complet d’un article (titre, contenu, auteur, date)</t>
  </si>
  <si>
    <t>Ajout de liens de navigation vers la liste et les catégories d’articles et admin</t>
  </si>
  <si>
    <t>Mise en place de l’en-tête (header) et navigation principale</t>
  </si>
  <si>
    <t>Ajout Footer simple</t>
  </si>
  <si>
    <t>header.php</t>
  </si>
  <si>
    <t>Page d’accueil : structure et design de la page principale</t>
  </si>
  <si>
    <t>SEO basique : balises meta, titre, description pour le référencement</t>
  </si>
  <si>
    <t>Tests front-end : vérification de l’affichage et du comportement</t>
  </si>
  <si>
    <t>Integration</t>
  </si>
  <si>
    <t>Frontoffice, Backoffice</t>
  </si>
  <si>
    <t>integration de frontoffice avec backoffice</t>
  </si>
  <si>
    <t>correction de css pour conformite sur tout le projet</t>
  </si>
  <si>
    <t>Todo Id</t>
  </si>
  <si>
    <t>Total</t>
  </si>
  <si>
    <t>27/03/2026</t>
  </si>
  <si>
    <t>28/03/2026</t>
  </si>
  <si>
    <t>29/03/2026</t>
  </si>
  <si>
    <t>30/03/2026</t>
  </si>
  <si>
    <t>31/03/2026</t>
  </si>
  <si>
    <t>Temps passer</t>
  </si>
  <si>
    <t>Estimation Total</t>
  </si>
  <si>
    <t>Temps passer Total</t>
  </si>
  <si>
    <t>Reste a faire Total</t>
  </si>
  <si>
    <t>Depassement</t>
  </si>
  <si>
    <t xml:space="preserve"> </t>
  </si>
  <si>
    <t>heures totale passe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</si>
</sst>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b/>
      <sz val="11.0"/>
      <color theme="1"/>
      <name val="Liberation Serif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000000"/>
      <name val="Calibri"/>
    </font>
    <font>
      <sz val="12.0"/>
      <color theme="1"/>
      <name val="Aptos Narrow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Font="1"/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49" xfId="0" applyAlignment="1" applyFont="1" applyNumberForma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0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10" numFmtId="10" xfId="0" applyAlignment="1" applyFont="1" applyNumberFormat="1">
      <alignment horizontal="right" shrinkToFit="0" vertical="bottom" wrapText="0"/>
    </xf>
    <xf borderId="0" fillId="0" fontId="10" numFmtId="9" xfId="0" applyAlignment="1" applyFont="1" applyNumberFormat="1">
      <alignment horizontal="right" shrinkToFit="0" vertical="bottom" wrapText="0"/>
    </xf>
    <xf borderId="0" fillId="0" fontId="11" numFmtId="0" xfId="0" applyAlignment="1" applyFont="1">
      <alignment horizontal="right" readingOrder="0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Grou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do-style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apitul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anc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" displayName="Groupe" name="Groupe" id="1">
  <tableColumns count="2">
    <tableColumn name="ETU" id="1"/>
    <tableColumn name="Prenom" id="2"/>
  </tableColumns>
  <tableStyleInfo name="Groupe-style" showColumnStripes="0" showFirstColumn="1" showLastColumn="1" showRowStripes="1"/>
</table>
</file>

<file path=xl/tables/table2.xml><?xml version="1.0" encoding="utf-8"?>
<table xmlns="http://schemas.openxmlformats.org/spreadsheetml/2006/main" ref="A1:J34" displayName="TODO" name="TODO" id="2">
  <tableColumns count="10">
    <tableColumn name="-" id="1"/>
    <tableColumn name="Module" id="2"/>
    <tableColumn name="Pages" id="3"/>
    <tableColumn name="Taches" id="4"/>
    <tableColumn name="Type" id="5"/>
    <tableColumn name="Qui" id="6"/>
    <tableColumn name="Estimation" id="7"/>
    <tableColumn name="Temps passes" id="8"/>
    <tableColumn name="Reste a faire" id="9"/>
    <tableColumn name="Avancement" id="10"/>
  </tableColumns>
  <tableStyleInfo name="Todo-style" showColumnStripes="0" showFirstColumn="1" showLastColumn="1" showRowStripes="1"/>
</table>
</file>

<file path=xl/tables/table3.xml><?xml version="1.0" encoding="utf-8"?>
<table xmlns="http://schemas.openxmlformats.org/spreadsheetml/2006/main" ref="A1:G34" displayName="Details" name="Details" id="3">
  <tableColumns count="7">
    <tableColumn name="Todo Id" id="1"/>
    <tableColumn name="Total" id="2"/>
    <tableColumn name="27/03/2026" id="3"/>
    <tableColumn name="28/03/2026" id="4"/>
    <tableColumn name="29/03/2026" id="5"/>
    <tableColumn name="30/03/2026" id="6"/>
    <tableColumn name="31/03/2026" id="7"/>
  </tableColumns>
  <tableStyleInfo name="Details-style" showColumnStripes="0" showFirstColumn="1" showLastColumn="1" showRowStripes="1"/>
</table>
</file>

<file path=xl/tables/table4.xml><?xml version="1.0" encoding="utf-8"?>
<table xmlns="http://schemas.openxmlformats.org/spreadsheetml/2006/main" ref="A1:D3" displayName="Recapitulation" name="Recapitulation" id="4">
  <tableColumns count="4">
    <tableColumn name="Qui" id="1"/>
    <tableColumn name="Estimation" id="2"/>
    <tableColumn name="Temps passer" id="3"/>
    <tableColumn name="Avancement" id="4"/>
  </tableColumns>
  <tableStyleInfo name="Recapitulation-style" showColumnStripes="0" showFirstColumn="1" showLastColumn="1" showRowStripes="1"/>
</table>
</file>

<file path=xl/tables/table5.xml><?xml version="1.0" encoding="utf-8"?>
<table xmlns="http://schemas.openxmlformats.org/spreadsheetml/2006/main" ref="A1:E2" displayName="Avancement" name="Avancement" id="5">
  <tableColumns count="5">
    <tableColumn name="Estimation Total" id="1"/>
    <tableColumn name="Temps passer Total" id="2"/>
    <tableColumn name="Reste a faire Total" id="3"/>
    <tableColumn name="Avancement" id="4"/>
    <tableColumn name="Depassement" id="5"/>
  </tableColumns>
  <tableStyleInfo name="Avanc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1.63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A3" s="2" t="s">
        <v>4</v>
      </c>
      <c r="B3" s="2" t="s">
        <v>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13"/>
    <col customWidth="1" min="2" max="2" width="24.63"/>
    <col customWidth="1" min="3" max="3" width="33.63"/>
    <col customWidth="1" min="4" max="4" width="82.0"/>
    <col customWidth="1" min="5" max="5" width="20.63"/>
    <col customWidth="1" min="6" max="6" width="30.0"/>
    <col customWidth="1" min="7" max="7" width="13.63"/>
    <col customWidth="1" min="8" max="8" width="17.38"/>
    <col customWidth="1" min="9" max="10" width="14.75"/>
  </cols>
  <sheetData>
    <row r="1" ht="15.75" customHeight="1">
      <c r="A1" s="4" t="s">
        <v>6</v>
      </c>
      <c r="B1" s="4" t="s">
        <v>7</v>
      </c>
      <c r="C1" s="5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7" t="s">
        <v>13</v>
      </c>
      <c r="I1" s="8" t="s">
        <v>14</v>
      </c>
      <c r="J1" s="8" t="s">
        <v>15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ht="15.75" customHeight="1">
      <c r="A2" s="10" t="s">
        <v>16</v>
      </c>
      <c r="B2" s="11" t="s">
        <v>17</v>
      </c>
      <c r="C2" s="10" t="s">
        <v>18</v>
      </c>
      <c r="D2" s="12" t="s">
        <v>19</v>
      </c>
      <c r="E2" s="13" t="s">
        <v>20</v>
      </c>
      <c r="F2" s="14" t="s">
        <v>2</v>
      </c>
      <c r="G2" s="15">
        <v>20.0</v>
      </c>
      <c r="H2" s="16">
        <f>Details!B2</f>
        <v>15</v>
      </c>
      <c r="I2" s="17">
        <v>0.0</v>
      </c>
      <c r="J2" s="17">
        <f t="shared" ref="J2:J34" si="1">(H2/(H2+I2))*100</f>
        <v>100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15.75" customHeight="1">
      <c r="A3" s="10" t="s">
        <v>16</v>
      </c>
      <c r="B3" s="11" t="s">
        <v>17</v>
      </c>
      <c r="C3" s="18" t="s">
        <v>18</v>
      </c>
      <c r="D3" s="12" t="s">
        <v>21</v>
      </c>
      <c r="E3" s="11" t="s">
        <v>22</v>
      </c>
      <c r="F3" s="14" t="s">
        <v>4</v>
      </c>
      <c r="G3" s="16">
        <v>5.0</v>
      </c>
      <c r="H3" s="16">
        <f>Details!B3</f>
        <v>5</v>
      </c>
      <c r="I3" s="17">
        <v>0.0</v>
      </c>
      <c r="J3" s="17">
        <f t="shared" si="1"/>
        <v>100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5.75" customHeight="1">
      <c r="A4" s="14" t="s">
        <v>16</v>
      </c>
      <c r="B4" s="11" t="s">
        <v>17</v>
      </c>
      <c r="C4" s="18" t="s">
        <v>18</v>
      </c>
      <c r="D4" s="12" t="s">
        <v>23</v>
      </c>
      <c r="E4" s="11" t="s">
        <v>22</v>
      </c>
      <c r="F4" s="14" t="s">
        <v>4</v>
      </c>
      <c r="G4" s="16">
        <v>10.0</v>
      </c>
      <c r="H4" s="16">
        <f>Details!B4</f>
        <v>10</v>
      </c>
      <c r="I4" s="17">
        <v>0.0</v>
      </c>
      <c r="J4" s="18">
        <f t="shared" si="1"/>
        <v>100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15.75" customHeight="1">
      <c r="A5" s="14" t="s">
        <v>16</v>
      </c>
      <c r="B5" s="11" t="s">
        <v>17</v>
      </c>
      <c r="C5" s="18" t="s">
        <v>18</v>
      </c>
      <c r="D5" s="12" t="s">
        <v>24</v>
      </c>
      <c r="E5" s="11" t="s">
        <v>22</v>
      </c>
      <c r="F5" s="14" t="s">
        <v>4</v>
      </c>
      <c r="G5" s="16">
        <v>5.0</v>
      </c>
      <c r="H5" s="16">
        <f>Details!B5</f>
        <v>5</v>
      </c>
      <c r="I5" s="17">
        <v>0.0</v>
      </c>
      <c r="J5" s="18">
        <f t="shared" si="1"/>
        <v>100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15.75" customHeight="1">
      <c r="A6" s="19" t="s">
        <v>16</v>
      </c>
      <c r="B6" s="20" t="s">
        <v>17</v>
      </c>
      <c r="C6" s="21" t="s">
        <v>18</v>
      </c>
      <c r="D6" s="22" t="s">
        <v>25</v>
      </c>
      <c r="E6" s="20" t="s">
        <v>20</v>
      </c>
      <c r="F6" s="19" t="s">
        <v>4</v>
      </c>
      <c r="G6" s="23">
        <v>5.0</v>
      </c>
      <c r="H6" s="16">
        <f>Details!B6</f>
        <v>5</v>
      </c>
      <c r="I6" s="17">
        <v>0.0</v>
      </c>
      <c r="J6" s="21">
        <f t="shared" si="1"/>
        <v>100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5.75" customHeight="1">
      <c r="A7" s="19" t="s">
        <v>26</v>
      </c>
      <c r="B7" s="20" t="s">
        <v>27</v>
      </c>
      <c r="C7" s="21" t="s">
        <v>28</v>
      </c>
      <c r="D7" s="22" t="s">
        <v>29</v>
      </c>
      <c r="E7" s="20" t="s">
        <v>30</v>
      </c>
      <c r="F7" s="19" t="s">
        <v>4</v>
      </c>
      <c r="G7" s="23">
        <v>10.0</v>
      </c>
      <c r="H7" s="16">
        <f>Details!B7</f>
        <v>5</v>
      </c>
      <c r="I7" s="17">
        <v>0.0</v>
      </c>
      <c r="J7" s="21">
        <f t="shared" si="1"/>
        <v>100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15.75" customHeight="1">
      <c r="A8" s="19" t="s">
        <v>26</v>
      </c>
      <c r="B8" s="20" t="s">
        <v>27</v>
      </c>
      <c r="C8" s="21" t="s">
        <v>28</v>
      </c>
      <c r="D8" s="22" t="s">
        <v>31</v>
      </c>
      <c r="E8" s="20" t="s">
        <v>32</v>
      </c>
      <c r="F8" s="19" t="s">
        <v>4</v>
      </c>
      <c r="G8" s="23">
        <v>10.0</v>
      </c>
      <c r="H8" s="16">
        <f>Details!B8</f>
        <v>10</v>
      </c>
      <c r="I8" s="17">
        <v>0.0</v>
      </c>
      <c r="J8" s="21">
        <f t="shared" si="1"/>
        <v>100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5.75" customHeight="1">
      <c r="A9" s="19" t="s">
        <v>26</v>
      </c>
      <c r="B9" s="20" t="s">
        <v>33</v>
      </c>
      <c r="C9" s="21" t="s">
        <v>34</v>
      </c>
      <c r="D9" s="22" t="s">
        <v>35</v>
      </c>
      <c r="E9" s="20" t="s">
        <v>30</v>
      </c>
      <c r="F9" s="19" t="s">
        <v>2</v>
      </c>
      <c r="G9" s="23">
        <v>20.0</v>
      </c>
      <c r="H9" s="16">
        <f>Details!B9</f>
        <v>20</v>
      </c>
      <c r="I9" s="17">
        <v>0.0</v>
      </c>
      <c r="J9" s="21">
        <f t="shared" si="1"/>
        <v>100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5.75" customHeight="1">
      <c r="A10" s="19" t="s">
        <v>26</v>
      </c>
      <c r="B10" s="20" t="s">
        <v>33</v>
      </c>
      <c r="C10" s="24" t="s">
        <v>36</v>
      </c>
      <c r="D10" s="22" t="s">
        <v>37</v>
      </c>
      <c r="E10" s="20" t="s">
        <v>30</v>
      </c>
      <c r="F10" s="19" t="s">
        <v>2</v>
      </c>
      <c r="G10" s="23">
        <v>30.0</v>
      </c>
      <c r="H10" s="16">
        <f>Details!B10</f>
        <v>35</v>
      </c>
      <c r="I10" s="17">
        <v>0.0</v>
      </c>
      <c r="J10" s="21">
        <f t="shared" si="1"/>
        <v>100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5.75" customHeight="1">
      <c r="A11" s="19" t="s">
        <v>26</v>
      </c>
      <c r="B11" s="20" t="s">
        <v>33</v>
      </c>
      <c r="C11" s="24" t="s">
        <v>38</v>
      </c>
      <c r="D11" s="22" t="s">
        <v>39</v>
      </c>
      <c r="E11" s="20" t="s">
        <v>32</v>
      </c>
      <c r="F11" s="19" t="s">
        <v>4</v>
      </c>
      <c r="G11" s="23">
        <v>15.0</v>
      </c>
      <c r="H11" s="16">
        <f>Details!B11</f>
        <v>15</v>
      </c>
      <c r="I11" s="17">
        <v>0.0</v>
      </c>
      <c r="J11" s="21">
        <f t="shared" si="1"/>
        <v>100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5.75" customHeight="1">
      <c r="A12" s="19" t="s">
        <v>26</v>
      </c>
      <c r="B12" s="20" t="s">
        <v>33</v>
      </c>
      <c r="C12" s="24" t="s">
        <v>38</v>
      </c>
      <c r="D12" s="22" t="s">
        <v>40</v>
      </c>
      <c r="E12" s="20" t="s">
        <v>30</v>
      </c>
      <c r="F12" s="19" t="s">
        <v>2</v>
      </c>
      <c r="G12" s="23">
        <v>10.0</v>
      </c>
      <c r="H12" s="16">
        <f>Details!B12</f>
        <v>15</v>
      </c>
      <c r="I12" s="17">
        <v>0.0</v>
      </c>
      <c r="J12" s="21">
        <f t="shared" si="1"/>
        <v>100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.75" customHeight="1">
      <c r="A13" s="19" t="s">
        <v>26</v>
      </c>
      <c r="B13" s="20" t="s">
        <v>33</v>
      </c>
      <c r="C13" s="24" t="s">
        <v>34</v>
      </c>
      <c r="D13" s="22" t="s">
        <v>41</v>
      </c>
      <c r="E13" s="20" t="s">
        <v>30</v>
      </c>
      <c r="F13" s="19" t="s">
        <v>2</v>
      </c>
      <c r="G13" s="23">
        <v>10.0</v>
      </c>
      <c r="H13" s="16">
        <f>Details!B13</f>
        <v>10</v>
      </c>
      <c r="I13" s="17">
        <v>0.0</v>
      </c>
      <c r="J13" s="21">
        <f t="shared" si="1"/>
        <v>100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5.75" customHeight="1">
      <c r="A14" s="19" t="s">
        <v>26</v>
      </c>
      <c r="B14" s="20" t="s">
        <v>33</v>
      </c>
      <c r="C14" s="24" t="s">
        <v>34</v>
      </c>
      <c r="D14" s="22" t="s">
        <v>42</v>
      </c>
      <c r="E14" s="20" t="s">
        <v>32</v>
      </c>
      <c r="F14" s="19" t="s">
        <v>4</v>
      </c>
      <c r="G14" s="23">
        <v>10.0</v>
      </c>
      <c r="H14" s="16">
        <f>Details!B14</f>
        <v>10</v>
      </c>
      <c r="I14" s="17">
        <v>0.0</v>
      </c>
      <c r="J14" s="21">
        <f t="shared" si="1"/>
        <v>100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5.75" customHeight="1">
      <c r="A15" s="19" t="s">
        <v>16</v>
      </c>
      <c r="B15" s="20" t="s">
        <v>17</v>
      </c>
      <c r="C15" s="24" t="s">
        <v>18</v>
      </c>
      <c r="D15" s="22" t="s">
        <v>43</v>
      </c>
      <c r="E15" s="20" t="s">
        <v>20</v>
      </c>
      <c r="F15" s="19" t="s">
        <v>2</v>
      </c>
      <c r="G15" s="23">
        <v>15.0</v>
      </c>
      <c r="H15" s="16">
        <f>Details!B15</f>
        <v>10</v>
      </c>
      <c r="I15" s="17">
        <v>0.0</v>
      </c>
      <c r="J15" s="21">
        <f t="shared" si="1"/>
        <v>100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5.75" customHeight="1">
      <c r="A16" s="19" t="s">
        <v>26</v>
      </c>
      <c r="B16" s="20" t="s">
        <v>33</v>
      </c>
      <c r="C16" s="24" t="s">
        <v>44</v>
      </c>
      <c r="D16" s="22" t="s">
        <v>45</v>
      </c>
      <c r="E16" s="20" t="s">
        <v>32</v>
      </c>
      <c r="F16" s="19" t="s">
        <v>4</v>
      </c>
      <c r="G16" s="23">
        <v>20.0</v>
      </c>
      <c r="H16" s="16">
        <f>Details!B16</f>
        <v>20</v>
      </c>
      <c r="I16" s="17">
        <v>0.0</v>
      </c>
      <c r="J16" s="21">
        <f t="shared" si="1"/>
        <v>100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5.75" customHeight="1">
      <c r="A17" s="19" t="s">
        <v>26</v>
      </c>
      <c r="B17" s="20" t="s">
        <v>33</v>
      </c>
      <c r="C17" s="24" t="s">
        <v>46</v>
      </c>
      <c r="D17" s="22" t="s">
        <v>47</v>
      </c>
      <c r="E17" s="20" t="s">
        <v>30</v>
      </c>
      <c r="F17" s="19" t="s">
        <v>2</v>
      </c>
      <c r="G17" s="23">
        <v>20.0</v>
      </c>
      <c r="H17" s="16">
        <f>Details!B17</f>
        <v>20</v>
      </c>
      <c r="I17" s="17">
        <v>0.0</v>
      </c>
      <c r="J17" s="21">
        <f t="shared" si="1"/>
        <v>100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5.75" customHeight="1">
      <c r="A18" s="19" t="s">
        <v>26</v>
      </c>
      <c r="B18" s="20" t="s">
        <v>33</v>
      </c>
      <c r="C18" s="24" t="s">
        <v>46</v>
      </c>
      <c r="D18" s="22" t="s">
        <v>48</v>
      </c>
      <c r="E18" s="20" t="s">
        <v>32</v>
      </c>
      <c r="F18" s="19" t="s">
        <v>4</v>
      </c>
      <c r="G18" s="23">
        <v>10.0</v>
      </c>
      <c r="H18" s="16">
        <f>Details!B18</f>
        <v>15</v>
      </c>
      <c r="I18" s="17">
        <v>0.0</v>
      </c>
      <c r="J18" s="21">
        <f t="shared" si="1"/>
        <v>100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5.75" customHeight="1">
      <c r="A19" s="25" t="s">
        <v>49</v>
      </c>
      <c r="B19" s="26" t="s">
        <v>50</v>
      </c>
      <c r="C19" s="25" t="s">
        <v>51</v>
      </c>
      <c r="D19" s="27" t="s">
        <v>52</v>
      </c>
      <c r="E19" s="26" t="s">
        <v>30</v>
      </c>
      <c r="F19" s="25" t="s">
        <v>4</v>
      </c>
      <c r="G19" s="28">
        <v>15.0</v>
      </c>
      <c r="H19" s="16">
        <f>Details!B19</f>
        <v>15</v>
      </c>
      <c r="I19" s="17">
        <v>0.0</v>
      </c>
      <c r="J19" s="21">
        <f t="shared" si="1"/>
        <v>100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5.75" customHeight="1">
      <c r="A20" s="25" t="s">
        <v>49</v>
      </c>
      <c r="B20" s="26" t="s">
        <v>33</v>
      </c>
      <c r="C20" s="25" t="s">
        <v>53</v>
      </c>
      <c r="D20" s="27" t="s">
        <v>54</v>
      </c>
      <c r="E20" s="26" t="s">
        <v>30</v>
      </c>
      <c r="F20" s="25" t="s">
        <v>4</v>
      </c>
      <c r="G20" s="28">
        <v>15.0</v>
      </c>
      <c r="H20" s="16">
        <f>Details!B20</f>
        <v>15</v>
      </c>
      <c r="I20" s="17">
        <v>0.0</v>
      </c>
      <c r="J20" s="21">
        <f t="shared" si="1"/>
        <v>100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25" t="s">
        <v>49</v>
      </c>
      <c r="B21" s="26" t="s">
        <v>33</v>
      </c>
      <c r="C21" s="25" t="s">
        <v>53</v>
      </c>
      <c r="D21" s="27" t="s">
        <v>55</v>
      </c>
      <c r="E21" s="26" t="s">
        <v>30</v>
      </c>
      <c r="F21" s="25" t="s">
        <v>4</v>
      </c>
      <c r="G21" s="28">
        <v>10.0</v>
      </c>
      <c r="H21" s="16">
        <f>Details!B21</f>
        <v>10</v>
      </c>
      <c r="I21" s="17">
        <v>0.0</v>
      </c>
      <c r="J21" s="21">
        <f t="shared" si="1"/>
        <v>100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25" t="s">
        <v>49</v>
      </c>
      <c r="B22" s="26" t="s">
        <v>56</v>
      </c>
      <c r="C22" s="25" t="s">
        <v>53</v>
      </c>
      <c r="D22" s="27" t="s">
        <v>57</v>
      </c>
      <c r="E22" s="26" t="s">
        <v>30</v>
      </c>
      <c r="F22" s="25" t="s">
        <v>4</v>
      </c>
      <c r="G22" s="28">
        <v>20.0</v>
      </c>
      <c r="H22" s="16">
        <f>Details!B22</f>
        <v>20</v>
      </c>
      <c r="I22" s="17">
        <v>0.0</v>
      </c>
      <c r="J22" s="21">
        <f t="shared" si="1"/>
        <v>100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25" t="s">
        <v>49</v>
      </c>
      <c r="B23" s="26" t="s">
        <v>33</v>
      </c>
      <c r="C23" s="25" t="s">
        <v>53</v>
      </c>
      <c r="D23" s="27" t="s">
        <v>58</v>
      </c>
      <c r="E23" s="26" t="s">
        <v>30</v>
      </c>
      <c r="F23" s="25" t="s">
        <v>4</v>
      </c>
      <c r="G23" s="28">
        <v>10.0</v>
      </c>
      <c r="H23" s="16">
        <f>Details!B23</f>
        <v>10</v>
      </c>
      <c r="I23" s="17">
        <v>0.0</v>
      </c>
      <c r="J23" s="21">
        <f t="shared" si="1"/>
        <v>100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25" t="s">
        <v>49</v>
      </c>
      <c r="B24" s="26" t="s">
        <v>59</v>
      </c>
      <c r="C24" s="25" t="s">
        <v>60</v>
      </c>
      <c r="D24" s="27" t="s">
        <v>61</v>
      </c>
      <c r="E24" s="26" t="s">
        <v>32</v>
      </c>
      <c r="F24" s="25" t="s">
        <v>2</v>
      </c>
      <c r="G24" s="28">
        <v>20.0</v>
      </c>
      <c r="H24" s="16">
        <f>Details!B24</f>
        <v>20</v>
      </c>
      <c r="I24" s="17">
        <v>0.0</v>
      </c>
      <c r="J24" s="21">
        <f t="shared" si="1"/>
        <v>100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25" t="s">
        <v>49</v>
      </c>
      <c r="B25" s="26" t="s">
        <v>59</v>
      </c>
      <c r="C25" s="25" t="s">
        <v>60</v>
      </c>
      <c r="D25" s="27" t="s">
        <v>62</v>
      </c>
      <c r="E25" s="26" t="s">
        <v>32</v>
      </c>
      <c r="F25" s="25" t="s">
        <v>2</v>
      </c>
      <c r="G25" s="28">
        <v>10.0</v>
      </c>
      <c r="H25" s="16">
        <f>Details!B25</f>
        <v>10</v>
      </c>
      <c r="I25" s="17">
        <v>0.0</v>
      </c>
      <c r="J25" s="21">
        <f t="shared" si="1"/>
        <v>100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25" t="s">
        <v>49</v>
      </c>
      <c r="B26" s="26" t="s">
        <v>63</v>
      </c>
      <c r="C26" s="25" t="s">
        <v>64</v>
      </c>
      <c r="D26" s="27" t="s">
        <v>65</v>
      </c>
      <c r="E26" s="26" t="s">
        <v>30</v>
      </c>
      <c r="F26" s="25" t="s">
        <v>4</v>
      </c>
      <c r="G26" s="28">
        <v>15.0</v>
      </c>
      <c r="H26" s="16">
        <f>Details!B26</f>
        <v>15</v>
      </c>
      <c r="I26" s="17">
        <v>0.0</v>
      </c>
      <c r="J26" s="21">
        <f t="shared" si="1"/>
        <v>100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25" t="s">
        <v>49</v>
      </c>
      <c r="B27" s="26" t="s">
        <v>63</v>
      </c>
      <c r="C27" s="25" t="s">
        <v>64</v>
      </c>
      <c r="D27" s="27" t="s">
        <v>66</v>
      </c>
      <c r="E27" s="26" t="s">
        <v>32</v>
      </c>
      <c r="F27" s="25" t="s">
        <v>2</v>
      </c>
      <c r="G27" s="28">
        <v>20.0</v>
      </c>
      <c r="H27" s="16">
        <f>Details!B27</f>
        <v>20</v>
      </c>
      <c r="I27" s="17">
        <v>0.0</v>
      </c>
      <c r="J27" s="21">
        <f t="shared" si="1"/>
        <v>100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25" t="s">
        <v>49</v>
      </c>
      <c r="B28" s="26" t="s">
        <v>59</v>
      </c>
      <c r="C28" s="25" t="s">
        <v>53</v>
      </c>
      <c r="D28" s="27" t="s">
        <v>67</v>
      </c>
      <c r="E28" s="26" t="s">
        <v>32</v>
      </c>
      <c r="F28" s="25" t="s">
        <v>2</v>
      </c>
      <c r="G28" s="28">
        <v>15.0</v>
      </c>
      <c r="H28" s="16">
        <f>Details!B28</f>
        <v>15</v>
      </c>
      <c r="I28" s="17">
        <v>0.0</v>
      </c>
      <c r="J28" s="21">
        <f t="shared" si="1"/>
        <v>100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25" t="s">
        <v>49</v>
      </c>
      <c r="B29" s="26" t="s">
        <v>59</v>
      </c>
      <c r="C29" s="25" t="s">
        <v>53</v>
      </c>
      <c r="D29" s="27" t="s">
        <v>68</v>
      </c>
      <c r="E29" s="26" t="s">
        <v>32</v>
      </c>
      <c r="F29" s="25" t="s">
        <v>2</v>
      </c>
      <c r="G29" s="28">
        <v>20.0</v>
      </c>
      <c r="H29" s="16">
        <f>Details!B29</f>
        <v>15</v>
      </c>
      <c r="I29" s="17">
        <v>0.0</v>
      </c>
      <c r="J29" s="21">
        <f t="shared" si="1"/>
        <v>100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25" t="s">
        <v>49</v>
      </c>
      <c r="B30" s="26" t="s">
        <v>59</v>
      </c>
      <c r="C30" s="25" t="s">
        <v>69</v>
      </c>
      <c r="D30" s="27" t="s">
        <v>70</v>
      </c>
      <c r="E30" s="26" t="s">
        <v>32</v>
      </c>
      <c r="F30" s="25" t="s">
        <v>2</v>
      </c>
      <c r="G30" s="28">
        <v>10.0</v>
      </c>
      <c r="H30" s="16">
        <f>Details!B30</f>
        <v>10</v>
      </c>
      <c r="I30" s="17">
        <v>0.0</v>
      </c>
      <c r="J30" s="21">
        <f t="shared" si="1"/>
        <v>100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25" t="s">
        <v>49</v>
      </c>
      <c r="B31" s="26" t="s">
        <v>59</v>
      </c>
      <c r="C31" s="25" t="s">
        <v>53</v>
      </c>
      <c r="D31" s="27" t="s">
        <v>71</v>
      </c>
      <c r="E31" s="26" t="s">
        <v>30</v>
      </c>
      <c r="F31" s="25" t="s">
        <v>4</v>
      </c>
      <c r="G31" s="28">
        <v>20.0</v>
      </c>
      <c r="H31" s="16">
        <f>Details!B31</f>
        <v>15</v>
      </c>
      <c r="I31" s="17">
        <v>0.0</v>
      </c>
      <c r="J31" s="21">
        <f t="shared" si="1"/>
        <v>100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25" t="s">
        <v>49</v>
      </c>
      <c r="B32" s="26" t="s">
        <v>59</v>
      </c>
      <c r="C32" s="25" t="s">
        <v>18</v>
      </c>
      <c r="D32" s="27" t="s">
        <v>72</v>
      </c>
      <c r="E32" s="26" t="s">
        <v>73</v>
      </c>
      <c r="F32" s="25" t="s">
        <v>4</v>
      </c>
      <c r="G32" s="28">
        <v>15.0</v>
      </c>
      <c r="H32" s="16">
        <f>Details!B32</f>
        <v>15</v>
      </c>
      <c r="I32" s="17">
        <v>0.0</v>
      </c>
      <c r="J32" s="21">
        <f t="shared" si="1"/>
        <v>100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25" t="s">
        <v>74</v>
      </c>
      <c r="B33" s="26" t="s">
        <v>33</v>
      </c>
      <c r="C33" s="25" t="s">
        <v>18</v>
      </c>
      <c r="D33" s="27" t="s">
        <v>75</v>
      </c>
      <c r="E33" s="26" t="s">
        <v>73</v>
      </c>
      <c r="F33" s="25" t="s">
        <v>4</v>
      </c>
      <c r="G33" s="29">
        <v>15.0</v>
      </c>
      <c r="H33" s="16">
        <f>Details!B33</f>
        <v>15</v>
      </c>
      <c r="I33" s="17">
        <v>0.0</v>
      </c>
      <c r="J33" s="21">
        <f t="shared" si="1"/>
        <v>100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25" t="s">
        <v>74</v>
      </c>
      <c r="B34" s="26" t="s">
        <v>17</v>
      </c>
      <c r="C34" s="25" t="s">
        <v>18</v>
      </c>
      <c r="D34" s="27" t="s">
        <v>76</v>
      </c>
      <c r="E34" s="26" t="s">
        <v>32</v>
      </c>
      <c r="F34" s="25" t="s">
        <v>2</v>
      </c>
      <c r="G34" s="29">
        <v>30.0</v>
      </c>
      <c r="H34" s="16">
        <f>Details!B34</f>
        <v>30</v>
      </c>
      <c r="I34" s="17">
        <v>0.0</v>
      </c>
      <c r="J34" s="21">
        <f t="shared" si="1"/>
        <v>100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</sheetData>
  <dataValidations>
    <dataValidation type="list" allowBlank="1" sqref="F2:F34">
      <formula1>"ETU003256,ETU003326"</formula1>
    </dataValidation>
    <dataValidation type="list" allowBlank="1" sqref="B2:B34">
      <formula1>"no module,login,articles,rewriting ,categorie,liste-article,detail-article"</formula1>
    </dataValidation>
    <dataValidation type="list" allowBlank="1" sqref="C2:C34">
      <formula1>"No Page,login.php,list.php,create.php,edit.php,index.php,articles-list.php,article-detail.php,home.php,header.php,footer.php,article-version,edit.php"</formula1>
    </dataValidation>
    <dataValidation type="custom" allowBlank="1" showDropDown="1" sqref="G2:G34">
      <formula1>AND(ISNUMBER(G2),(NOT(OR(NOT(ISERROR(DATEVALUE(G2))), AND(ISNUMBER(G2), LEFT(CELL("format", G2))="D")))))</formula1>
    </dataValidation>
    <dataValidation type="list" allowBlank="1" sqref="E2:E34">
      <formula1>"Affichage,Metier,Integration,Tier,Base de donnee"</formula1>
    </dataValidation>
    <dataValidation allowBlank="1" showDropDown="1" sqref="D2:D34"/>
    <dataValidation type="list" allowBlank="1" sqref="A2:A34">
      <formula1>"Frontoffice,Backoffice,tier,rewriting "</formula1>
    </dataValidation>
  </dataValidations>
  <printOptions/>
  <pageMargins bottom="0.75" footer="0.0" header="0.0" left="0.7" right="0.7" top="0.75"/>
  <pageSetup fitToHeight="0" orientation="portrait" paperHeight="11in" paperWidth="11i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5.88"/>
    <col customWidth="1" min="4" max="4" width="14.88"/>
    <col customWidth="1" min="5" max="5" width="15.25"/>
    <col customWidth="1" min="6" max="6" width="14.5"/>
    <col customWidth="1" min="7" max="7" width="17.0"/>
  </cols>
  <sheetData>
    <row r="1" ht="22.5" customHeight="1">
      <c r="A1" s="1" t="s">
        <v>77</v>
      </c>
      <c r="B1" s="30" t="s">
        <v>78</v>
      </c>
      <c r="C1" s="1" t="s">
        <v>79</v>
      </c>
      <c r="D1" s="31" t="s">
        <v>80</v>
      </c>
      <c r="E1" s="32" t="s">
        <v>81</v>
      </c>
      <c r="F1" s="32" t="s">
        <v>82</v>
      </c>
      <c r="G1" s="32" t="s">
        <v>83</v>
      </c>
    </row>
    <row r="2" ht="22.5" customHeight="1">
      <c r="A2" s="33">
        <v>2.0</v>
      </c>
      <c r="B2" s="33">
        <f t="shared" ref="B2:B34" si="1">SUM(C2:G2)</f>
        <v>15</v>
      </c>
      <c r="C2" s="34"/>
      <c r="D2" s="35"/>
      <c r="E2" s="35"/>
      <c r="F2" s="35">
        <v>15.0</v>
      </c>
      <c r="G2" s="36"/>
    </row>
    <row r="3" ht="22.5" customHeight="1">
      <c r="A3" s="33">
        <v>3.0</v>
      </c>
      <c r="B3" s="33">
        <f t="shared" si="1"/>
        <v>5</v>
      </c>
      <c r="C3" s="34"/>
      <c r="D3" s="36"/>
      <c r="E3" s="36"/>
      <c r="F3" s="35">
        <v>5.0</v>
      </c>
      <c r="G3" s="36"/>
    </row>
    <row r="4" ht="22.5" customHeight="1">
      <c r="A4" s="33">
        <v>4.0</v>
      </c>
      <c r="B4" s="33">
        <f t="shared" si="1"/>
        <v>10</v>
      </c>
      <c r="C4" s="34"/>
      <c r="D4" s="36"/>
      <c r="E4" s="36"/>
      <c r="F4" s="35">
        <v>10.0</v>
      </c>
      <c r="G4" s="36"/>
    </row>
    <row r="5" ht="22.5" customHeight="1">
      <c r="A5" s="33">
        <v>5.0</v>
      </c>
      <c r="B5" s="33">
        <f t="shared" si="1"/>
        <v>5</v>
      </c>
      <c r="C5" s="34"/>
      <c r="D5" s="36"/>
      <c r="E5" s="36"/>
      <c r="F5" s="35">
        <v>5.0</v>
      </c>
      <c r="G5" s="36"/>
    </row>
    <row r="6" ht="22.5" customHeight="1">
      <c r="A6" s="33">
        <v>6.0</v>
      </c>
      <c r="B6" s="33">
        <f t="shared" si="1"/>
        <v>5</v>
      </c>
      <c r="C6" s="34"/>
      <c r="D6" s="36"/>
      <c r="E6" s="36"/>
      <c r="F6" s="35">
        <v>5.0</v>
      </c>
      <c r="G6" s="36"/>
    </row>
    <row r="7" ht="22.5" customHeight="1">
      <c r="A7" s="33">
        <v>7.0</v>
      </c>
      <c r="B7" s="33">
        <f t="shared" si="1"/>
        <v>5</v>
      </c>
      <c r="C7" s="34"/>
      <c r="D7" s="36"/>
      <c r="E7" s="36"/>
      <c r="F7" s="35">
        <v>5.0</v>
      </c>
      <c r="G7" s="36"/>
    </row>
    <row r="8" ht="22.5" customHeight="1">
      <c r="A8" s="33">
        <v>8.0</v>
      </c>
      <c r="B8" s="33">
        <f t="shared" si="1"/>
        <v>10</v>
      </c>
      <c r="C8" s="34"/>
      <c r="D8" s="36"/>
      <c r="E8" s="36"/>
      <c r="F8" s="35">
        <v>10.0</v>
      </c>
      <c r="G8" s="36"/>
    </row>
    <row r="9" ht="22.5" customHeight="1">
      <c r="A9" s="33">
        <v>9.0</v>
      </c>
      <c r="B9" s="33">
        <f t="shared" si="1"/>
        <v>20</v>
      </c>
      <c r="C9" s="34"/>
      <c r="D9" s="36"/>
      <c r="E9" s="36"/>
      <c r="F9" s="35">
        <v>10.0</v>
      </c>
      <c r="G9" s="35">
        <v>10.0</v>
      </c>
    </row>
    <row r="10" ht="22.5" customHeight="1">
      <c r="A10" s="33">
        <v>10.0</v>
      </c>
      <c r="B10" s="33">
        <f t="shared" si="1"/>
        <v>35</v>
      </c>
      <c r="C10" s="34"/>
      <c r="D10" s="36"/>
      <c r="E10" s="36"/>
      <c r="F10" s="35">
        <v>10.0</v>
      </c>
      <c r="G10" s="35">
        <v>25.0</v>
      </c>
    </row>
    <row r="11" ht="22.5" customHeight="1">
      <c r="A11" s="33">
        <v>11.0</v>
      </c>
      <c r="B11" s="33">
        <f t="shared" si="1"/>
        <v>15</v>
      </c>
      <c r="C11" s="34"/>
      <c r="D11" s="36"/>
      <c r="E11" s="36"/>
      <c r="F11" s="35"/>
      <c r="G11" s="35">
        <v>15.0</v>
      </c>
    </row>
    <row r="12" ht="22.5" customHeight="1">
      <c r="A12" s="33">
        <v>12.0</v>
      </c>
      <c r="B12" s="33">
        <f t="shared" si="1"/>
        <v>15</v>
      </c>
      <c r="C12" s="34"/>
      <c r="D12" s="36"/>
      <c r="E12" s="36"/>
      <c r="F12" s="36"/>
      <c r="G12" s="35">
        <v>15.0</v>
      </c>
    </row>
    <row r="13" ht="22.5" customHeight="1">
      <c r="A13" s="33">
        <v>13.0</v>
      </c>
      <c r="B13" s="33">
        <f t="shared" si="1"/>
        <v>10</v>
      </c>
      <c r="C13" s="34"/>
      <c r="D13" s="36"/>
      <c r="E13" s="36"/>
      <c r="F13" s="35">
        <v>10.0</v>
      </c>
      <c r="G13" s="36"/>
    </row>
    <row r="14" ht="22.5" customHeight="1">
      <c r="A14" s="33">
        <v>14.0</v>
      </c>
      <c r="B14" s="33">
        <f t="shared" si="1"/>
        <v>10</v>
      </c>
      <c r="C14" s="34"/>
      <c r="D14" s="36"/>
      <c r="E14" s="36"/>
      <c r="F14" s="36"/>
      <c r="G14" s="35">
        <v>10.0</v>
      </c>
    </row>
    <row r="15" ht="22.5" customHeight="1">
      <c r="A15" s="33">
        <v>15.0</v>
      </c>
      <c r="B15" s="33">
        <f t="shared" si="1"/>
        <v>10</v>
      </c>
      <c r="C15" s="34"/>
      <c r="D15" s="36"/>
      <c r="E15" s="36"/>
      <c r="F15" s="36"/>
      <c r="G15" s="35">
        <v>10.0</v>
      </c>
    </row>
    <row r="16" ht="22.5" customHeight="1">
      <c r="A16" s="33">
        <v>16.0</v>
      </c>
      <c r="B16" s="33">
        <f t="shared" si="1"/>
        <v>20</v>
      </c>
      <c r="C16" s="34"/>
      <c r="D16" s="36"/>
      <c r="E16" s="36"/>
      <c r="F16" s="35">
        <v>20.0</v>
      </c>
      <c r="G16" s="35"/>
    </row>
    <row r="17" ht="22.5" customHeight="1">
      <c r="A17" s="33">
        <v>17.0</v>
      </c>
      <c r="B17" s="33">
        <f t="shared" si="1"/>
        <v>20</v>
      </c>
      <c r="C17" s="34"/>
      <c r="D17" s="36"/>
      <c r="E17" s="36"/>
      <c r="F17" s="35">
        <v>20.0</v>
      </c>
      <c r="G17" s="35"/>
    </row>
    <row r="18" ht="22.5" customHeight="1">
      <c r="A18" s="33">
        <v>18.0</v>
      </c>
      <c r="B18" s="33">
        <f t="shared" si="1"/>
        <v>15</v>
      </c>
      <c r="C18" s="34"/>
      <c r="D18" s="36"/>
      <c r="E18" s="36"/>
      <c r="F18" s="35">
        <v>15.0</v>
      </c>
      <c r="G18" s="35"/>
    </row>
    <row r="19" ht="22.5" customHeight="1">
      <c r="A19" s="33">
        <v>19.0</v>
      </c>
      <c r="B19" s="33">
        <f t="shared" si="1"/>
        <v>15</v>
      </c>
      <c r="C19" s="34"/>
      <c r="D19" s="36"/>
      <c r="E19" s="36"/>
      <c r="F19" s="35">
        <v>15.0</v>
      </c>
      <c r="G19" s="35"/>
    </row>
    <row r="20" ht="22.5" customHeight="1">
      <c r="A20" s="33">
        <v>20.0</v>
      </c>
      <c r="B20" s="33">
        <f t="shared" si="1"/>
        <v>15</v>
      </c>
      <c r="C20" s="34"/>
      <c r="D20" s="36"/>
      <c r="E20" s="36"/>
      <c r="F20" s="35">
        <v>15.0</v>
      </c>
      <c r="G20" s="35"/>
    </row>
    <row r="21" ht="22.5" customHeight="1">
      <c r="A21" s="33">
        <v>21.0</v>
      </c>
      <c r="B21" s="33">
        <f t="shared" si="1"/>
        <v>10</v>
      </c>
      <c r="C21" s="34"/>
      <c r="D21" s="36"/>
      <c r="E21" s="36"/>
      <c r="F21" s="35">
        <v>10.0</v>
      </c>
      <c r="G21" s="35"/>
    </row>
    <row r="22" ht="22.5" customHeight="1">
      <c r="A22" s="33">
        <v>22.0</v>
      </c>
      <c r="B22" s="33">
        <f t="shared" si="1"/>
        <v>20</v>
      </c>
      <c r="C22" s="34"/>
      <c r="D22" s="36"/>
      <c r="E22" s="36"/>
      <c r="F22" s="35">
        <v>10.0</v>
      </c>
      <c r="G22" s="35">
        <v>10.0</v>
      </c>
    </row>
    <row r="23" ht="22.5" customHeight="1">
      <c r="A23" s="33">
        <v>23.0</v>
      </c>
      <c r="B23" s="33">
        <f t="shared" si="1"/>
        <v>10</v>
      </c>
      <c r="C23" s="34"/>
      <c r="D23" s="36"/>
      <c r="E23" s="36"/>
      <c r="F23" s="35">
        <v>10.0</v>
      </c>
      <c r="G23" s="35"/>
    </row>
    <row r="24" ht="22.5" customHeight="1">
      <c r="A24" s="33">
        <v>24.0</v>
      </c>
      <c r="B24" s="33">
        <f t="shared" si="1"/>
        <v>20</v>
      </c>
      <c r="C24" s="34"/>
      <c r="D24" s="36"/>
      <c r="E24" s="36"/>
      <c r="F24" s="35">
        <v>10.0</v>
      </c>
      <c r="G24" s="35">
        <v>10.0</v>
      </c>
    </row>
    <row r="25" ht="22.5" customHeight="1">
      <c r="A25" s="33">
        <v>25.0</v>
      </c>
      <c r="B25" s="33">
        <f t="shared" si="1"/>
        <v>10</v>
      </c>
      <c r="C25" s="34"/>
      <c r="D25" s="36"/>
      <c r="E25" s="36"/>
      <c r="F25" s="36"/>
      <c r="G25" s="35">
        <v>10.0</v>
      </c>
    </row>
    <row r="26" ht="22.5" customHeight="1">
      <c r="A26" s="33">
        <v>26.0</v>
      </c>
      <c r="B26" s="33">
        <f t="shared" si="1"/>
        <v>15</v>
      </c>
      <c r="C26" s="34"/>
      <c r="D26" s="36"/>
      <c r="E26" s="36"/>
      <c r="F26" s="36"/>
      <c r="G26" s="35">
        <v>15.0</v>
      </c>
    </row>
    <row r="27" ht="22.5" customHeight="1">
      <c r="A27" s="33">
        <v>27.0</v>
      </c>
      <c r="B27" s="33">
        <f t="shared" si="1"/>
        <v>20</v>
      </c>
      <c r="C27" s="34"/>
      <c r="D27" s="36"/>
      <c r="E27" s="36"/>
      <c r="F27" s="36"/>
      <c r="G27" s="35">
        <v>20.0</v>
      </c>
    </row>
    <row r="28" ht="22.5" customHeight="1">
      <c r="A28" s="33">
        <v>28.0</v>
      </c>
      <c r="B28" s="33">
        <f t="shared" si="1"/>
        <v>15</v>
      </c>
      <c r="C28" s="34"/>
      <c r="D28" s="36"/>
      <c r="E28" s="36"/>
      <c r="F28" s="36"/>
      <c r="G28" s="35">
        <v>15.0</v>
      </c>
    </row>
    <row r="29" ht="22.5" customHeight="1">
      <c r="A29" s="33">
        <v>29.0</v>
      </c>
      <c r="B29" s="33">
        <f t="shared" si="1"/>
        <v>15</v>
      </c>
      <c r="C29" s="34"/>
      <c r="D29" s="36"/>
      <c r="E29" s="36"/>
      <c r="F29" s="36"/>
      <c r="G29" s="35">
        <v>15.0</v>
      </c>
    </row>
    <row r="30" ht="22.5" customHeight="1">
      <c r="A30" s="33">
        <v>30.0</v>
      </c>
      <c r="B30" s="33">
        <f t="shared" si="1"/>
        <v>10</v>
      </c>
      <c r="C30" s="34"/>
      <c r="D30" s="36"/>
      <c r="E30" s="36"/>
      <c r="F30" s="36"/>
      <c r="G30" s="35">
        <v>10.0</v>
      </c>
    </row>
    <row r="31" ht="22.5" customHeight="1">
      <c r="A31" s="33">
        <v>31.0</v>
      </c>
      <c r="B31" s="33">
        <f t="shared" si="1"/>
        <v>15</v>
      </c>
      <c r="C31" s="34"/>
      <c r="D31" s="36"/>
      <c r="E31" s="36"/>
      <c r="F31" s="36"/>
      <c r="G31" s="35">
        <v>15.0</v>
      </c>
    </row>
    <row r="32" ht="22.5" customHeight="1">
      <c r="A32" s="33">
        <v>32.0</v>
      </c>
      <c r="B32" s="33">
        <f t="shared" si="1"/>
        <v>15</v>
      </c>
      <c r="C32" s="34"/>
      <c r="D32" s="36"/>
      <c r="E32" s="36"/>
      <c r="F32" s="36"/>
      <c r="G32" s="35">
        <v>15.0</v>
      </c>
    </row>
    <row r="33" ht="22.5" customHeight="1">
      <c r="A33" s="33">
        <v>33.0</v>
      </c>
      <c r="B33" s="33">
        <f t="shared" si="1"/>
        <v>15</v>
      </c>
      <c r="C33" s="34"/>
      <c r="D33" s="36"/>
      <c r="E33" s="36"/>
      <c r="F33" s="36"/>
      <c r="G33" s="35">
        <v>15.0</v>
      </c>
    </row>
    <row r="34" ht="22.5" customHeight="1">
      <c r="A34" s="33">
        <v>34.0</v>
      </c>
      <c r="B34" s="33">
        <f t="shared" si="1"/>
        <v>30</v>
      </c>
      <c r="C34" s="34"/>
      <c r="D34" s="36"/>
      <c r="E34" s="36"/>
      <c r="F34" s="36"/>
      <c r="G34" s="35">
        <v>30.0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3.5"/>
    <col customWidth="1" min="3" max="3" width="16.0"/>
    <col customWidth="1" min="4" max="4" width="14.75"/>
  </cols>
  <sheetData>
    <row r="1" ht="22.5" customHeight="1">
      <c r="A1" s="1" t="s">
        <v>11</v>
      </c>
      <c r="B1" s="1" t="s">
        <v>12</v>
      </c>
      <c r="C1" s="1" t="s">
        <v>84</v>
      </c>
      <c r="D1" s="1" t="s">
        <v>15</v>
      </c>
    </row>
    <row r="2" ht="22.5" customHeight="1">
      <c r="A2" s="37" t="str">
        <f>Groupe[ETU]</f>
        <v>ETU003256</v>
      </c>
      <c r="B2" s="38">
        <f>SUMIF(TODO[Qui], A2, TODO[Estimation])</f>
        <v>250</v>
      </c>
      <c r="C2" s="39">
        <f>SUMIF(TODO[Qui], A2, TODO[Temps passes])</f>
        <v>245</v>
      </c>
      <c r="D2" s="39">
        <f>IFERROR(C2 /(C2 + SUMIF(TODO[Qui], A2, TODO[Reste a faire])),0)*100
</f>
        <v>100</v>
      </c>
    </row>
    <row r="3" ht="22.5" customHeight="1">
      <c r="A3" s="37" t="str">
        <f>Groupe[ETU]</f>
        <v>ETU003326</v>
      </c>
      <c r="B3" s="38">
        <f>SUMIF(TODO[Qui], A3, TODO[Estimation])</f>
        <v>235</v>
      </c>
      <c r="C3" s="39">
        <f>SUMIF(TODO[Qui], A3, TODO[Temps passes])</f>
        <v>230</v>
      </c>
      <c r="D3" s="39">
        <f>IFERROR(C3 /(C3 + SUMIF(TODO[Qui], A3, TODO[Reste a faire])),0)*100
</f>
        <v>100</v>
      </c>
    </row>
    <row r="5">
      <c r="A5" s="40" t="s">
        <v>78</v>
      </c>
      <c r="B5" s="41">
        <f>sum(Recapitulation[Estimation])</f>
        <v>485</v>
      </c>
      <c r="C5" s="42">
        <f>SUM(Recapitulation[Temps passer])</f>
        <v>475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20.13"/>
    <col customWidth="1" min="3" max="3" width="18.88"/>
    <col customWidth="1" min="4" max="4" width="14.75"/>
    <col customWidth="1" min="5" max="5" width="15.75"/>
  </cols>
  <sheetData>
    <row r="1" ht="22.5" customHeight="1">
      <c r="A1" s="1" t="s">
        <v>85</v>
      </c>
      <c r="B1" s="1" t="s">
        <v>86</v>
      </c>
      <c r="C1" s="1" t="s">
        <v>87</v>
      </c>
      <c r="D1" s="1" t="s">
        <v>15</v>
      </c>
      <c r="E1" s="1" t="s">
        <v>88</v>
      </c>
    </row>
    <row r="2" ht="22.5" customHeight="1">
      <c r="A2" s="43">
        <f>SUM(TODO[Estimation])
</f>
        <v>485</v>
      </c>
      <c r="B2" s="43">
        <f>SUM(TODO[Temps passes])
</f>
        <v>475</v>
      </c>
      <c r="C2" s="44">
        <f>SUM(TODO[Reste a faire])
</f>
        <v>0</v>
      </c>
      <c r="D2" s="45">
        <f>(B2/(B2+C2))</f>
        <v>1</v>
      </c>
      <c r="E2" s="46">
        <f>((B2+C2)-A2)/A2</f>
        <v>-0.0206185567</v>
      </c>
    </row>
    <row r="4">
      <c r="A4" s="40" t="s">
        <v>89</v>
      </c>
      <c r="B4" s="47" t="s">
        <v>90</v>
      </c>
      <c r="C4" s="48">
        <f>Avancement[Temps passer Total]/60</f>
        <v>7.916666667</v>
      </c>
      <c r="D4" s="49"/>
    </row>
  </sheetData>
  <drawing r:id="rId1"/>
  <tableParts count="1">
    <tablePart r:id="rId3"/>
  </tableParts>
</worksheet>
</file>